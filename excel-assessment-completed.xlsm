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1" hidePivotFieldList="1"/>
  <mc:AlternateContent xmlns:mc="http://schemas.openxmlformats.org/markup-compatibility/2006">
    <mc:Choice Requires="x15">
      <x15ac:absPath xmlns:x15ac="http://schemas.microsoft.com/office/spreadsheetml/2010/11/ac" url="C:\Users\Admin\Desktop\"/>
    </mc:Choice>
  </mc:AlternateContent>
  <bookViews>
    <workbookView xWindow="0" yWindow="504" windowWidth="29400" windowHeight="16296" tabRatio="849" activeTab="1"/>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8"/>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 i="19" l="1"/>
  <c r="C24" i="20"/>
  <c r="C25" i="20"/>
  <c r="C26" i="20"/>
  <c r="C27" i="20"/>
  <c r="C28" i="20"/>
  <c r="C29" i="20"/>
  <c r="C30" i="20"/>
  <c r="C31" i="20"/>
  <c r="C32" i="20"/>
  <c r="C33" i="20"/>
  <c r="C34" i="20"/>
  <c r="C35" i="20"/>
  <c r="C23" i="20"/>
  <c r="G23" i="20"/>
  <c r="I23" i="20"/>
  <c r="H23" i="20"/>
  <c r="C30" i="18"/>
  <c r="D30" i="18"/>
  <c r="E30" i="18"/>
  <c r="F30" i="18"/>
  <c r="C29" i="18"/>
  <c r="D29" i="18"/>
  <c r="E29" i="18"/>
  <c r="F29" i="18"/>
  <c r="C28" i="18"/>
  <c r="D28" i="18"/>
  <c r="E28" i="18"/>
  <c r="F28" i="18"/>
  <c r="B30" i="18"/>
  <c r="B29"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7" i="18"/>
  <c r="B8" i="18"/>
  <c r="B9" i="18"/>
  <c r="B10" i="18"/>
  <c r="B11" i="18"/>
  <c r="B12" i="18"/>
  <c r="B13" i="18"/>
  <c r="B14" i="18"/>
  <c r="B15" i="18"/>
  <c r="B16" i="18"/>
  <c r="B17" i="18"/>
  <c r="B18" i="18"/>
  <c r="B19" i="18"/>
  <c r="B20" i="18"/>
  <c r="B21" i="18"/>
  <c r="B22" i="18"/>
  <c r="B23" i="18"/>
  <c r="B24" i="18"/>
  <c r="B25" i="18"/>
  <c r="B26" i="18"/>
  <c r="B27" i="18"/>
  <c r="H41" i="15"/>
</calcChain>
</file>

<file path=xl/sharedStrings.xml><?xml version="1.0" encoding="utf-8"?>
<sst xmlns="http://schemas.openxmlformats.org/spreadsheetml/2006/main" count="407" uniqueCount="184">
  <si>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</si>
  <si>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</si>
  <si>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</si>
  <si>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</si>
  <si>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</si>
  <si>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</si>
  <si>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</si>
  <si>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</si>
  <si>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</si>
  <si>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</si>
  <si>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</si>
  <si>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</si>
  <si>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</si>
  <si>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</si>
  <si>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</si>
  <si>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</si>
  <si>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</si>
  <si>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</si>
  <si>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</si>
  <si>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</si>
  <si>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</si>
  <si>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</si>
  <si>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</si>
  <si>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</si>
  <si>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</si>
  <si>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</si>
  <si>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</si>
  <si>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</si>
  <si>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</si>
  <si>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</si>
  <si>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</si>
  <si>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</si>
  <si>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</si>
  <si>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</si>
  <si>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</si>
  <si>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</si>
  <si>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</si>
  <si>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</si>
  <si>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</si>
  <si>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</si>
  <si>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</si>
  <si>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</si>
  <si>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</si>
  <si>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</si>
  <si>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</si>
  <si>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</si>
  <si>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</si>
  <si>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</si>
  <si>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</si>
  <si>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</si>
  <si>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</si>
  <si>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</si>
  <si>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</si>
  <si>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</si>
  <si>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</si>
  <si>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</si>
  <si>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</si>
  <si>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</si>
  <si>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</si>
  <si>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</si>
  <si>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</si>
  <si>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</si>
  <si>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</si>
  <si>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</si>
  <si>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</si>
  <si>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</si>
  <si>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</si>
  <si>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</si>
  <si>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</si>
  <si>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</si>
  <si>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</si>
  <si>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</si>
  <si>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</si>
  <si>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</si>
  <si>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</si>
  <si>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</si>
  <si>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</si>
  <si>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</si>
  <si>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</si>
  <si>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</si>
  <si>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</si>
  <si>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</si>
  <si>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</si>
  <si>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</si>
  <si>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</si>
  <si>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</si>
  <si>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</si>
  <si>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</si>
  <si>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</si>
  <si>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</si>
  <si>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</si>
  <si>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</si>
  <si>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</si>
  <si>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</si>
  <si>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</si>
  <si>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</si>
  <si>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</si>
  <si>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</si>
  <si>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</si>
  <si>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</si>
  <si>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</si>
  <si>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</si>
  <si>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</si>
  <si>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</si>
  <si>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</si>
  <si>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</si>
  <si>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</si>
  <si>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</si>
  <si>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</si>
  <si>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</si>
  <si>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</si>
  <si>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</si>
  <si>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</si>
  <si>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</si>
  <si>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</si>
  <si>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</si>
  <si>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</si>
  <si>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</si>
  <si>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</si>
  <si>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</si>
  <si>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</si>
  <si>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</si>
  <si>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</si>
  <si>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</si>
  <si>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</si>
  <si>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</si>
  <si>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</si>
  <si>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</si>
  <si>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</si>
  <si>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</si>
  <si>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</si>
  <si>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</si>
  <si>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</si>
  <si>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</si>
  <si>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</si>
  <si>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</si>
  <si>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</si>
  <si>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</si>
  <si>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</si>
  <si>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</si>
  <si>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</si>
  <si>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</si>
  <si>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</si>
  <si>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</si>
  <si>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</si>
  <si>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</si>
  <si>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</si>
  <si>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</si>
  <si>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</si>
  <si>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</si>
  <si>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</si>
  <si>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</si>
  <si>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</si>
  <si>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</si>
  <si>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</si>
  <si>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</si>
  <si>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</si>
  <si>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</si>
  <si>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</si>
  <si>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</si>
  <si>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</si>
  <si>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</si>
  <si>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</si>
  <si>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</si>
  <si>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</si>
  <si>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</si>
  <si>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</si>
  <si>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</si>
  <si>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</si>
  <si>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</si>
  <si>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</si>
  <si>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</si>
  <si>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</si>
  <si>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</si>
  <si>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</si>
  <si>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</si>
  <si>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</si>
  <si>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"=SUMIF(H2:H40,"&gt;=20")"</t>
  </si>
  <si>
    <t>INDEX , MATCH, VLOOKUP</t>
  </si>
  <si>
    <t>I broke down the problem in 3 different simpler tasks: connecting name_1 and name_2 to table_B through vlookup, matching the name from table_B to table_A through match function, indexing all those coordinates in value  . Finally I had to make ranges of table_A while using index, row and column ranges of table_A while using match immutable using $ so that i could drag and drop the formula.</t>
  </si>
  <si>
    <t>SUM, IFERROR</t>
  </si>
  <si>
    <t>I used the IFERROR function inside sum function to get the desired total but could not get the results on my systems MS Excel but could get the result in other devices and google sheets. Currently I am using an older version of MS Excel on my device which could be the reason otherwise my logic and function seems to be working well.</t>
  </si>
  <si>
    <t>Text to columns functionality in data tools from data tab</t>
  </si>
  <si>
    <t>I entered text to columns wizard where I selected delimeter then selected custom delimeter formatted it as  "-" and finished. Had to copy the entire column in adjacent row to get single text and all columns simultaneously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</si>
</sst>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hh:mm:ss;@"/>
    <numFmt numFmtId="165" formatCode="yyyy\-mm\-dd;@"/>
    <numFmt numFmtId="168"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7">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8" fontId="7" fillId="0" borderId="0" xfId="0" applyNumberFormat="1" applyFont="1"/>
    <xf numFmtId="168" fontId="3" fillId="0" borderId="0" xfId="0" applyNumberFormat="1" applyFont="1"/>
    <xf numFmtId="0" fontId="8" fillId="0" borderId="3" xfId="0" applyFont="1" applyBorder="1" applyAlignment="1">
      <alignment wrapText="1"/>
    </xf>
  </cellXfs>
  <cellStyles count="11">
    <cellStyle name="Normal" xfId="0" builtinId="0"/>
    <cellStyle name="Normal 2" xfId="1"/>
    <cellStyle name="Normal 2 2" xfId="3"/>
    <cellStyle name="Normal 2 3" xfId="7"/>
    <cellStyle name="Normal 3" xfId="2"/>
    <cellStyle name="Normal 3 2" xfId="8"/>
    <cellStyle name="Normal 4" xfId="4"/>
    <cellStyle name="Normal 5" xfId="5"/>
    <cellStyle name="Normal 5 2" xfId="6"/>
    <cellStyle name="Normal 5 3" xfId="10"/>
    <cellStyle name="Normal 7" xfId="9"/>
  </cellStyles>
  <dxfs count="6">
    <dxf>
      <fill>
        <patternFill>
          <bgColor theme="9"/>
        </patternFill>
      </fill>
    </dxf>
    <dxf>
      <fill>
        <patternFill>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6" t="s">
        <v>171</v>
      </c>
      <c r="B9" s="26" t="s">
        <v>169</v>
      </c>
    </row>
    <row r="10" spans="1:3" x14ac:dyDescent="0.3">
      <c r="A10" s="35" t="s">
        <v>172</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170</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0"/>
  <sheetViews>
    <sheetView tabSelected="1" zoomScaleNormal="100" workbookViewId="0">
      <pane ySplit="1" topLeftCell="A2" activePane="bottomLeft" state="frozen"/>
      <selection pane="bottomLeft"/>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5" bestFit="1" customWidth="1"/>
    <col min="25" max="16384" width="9" style="1"/>
  </cols>
  <sheetData>
    <row r="1" spans="1:24" s="3" customFormat="1" ht="13.2"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4"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sheetData>
  <conditionalFormatting sqref="A1:A1048576">
    <cfRule type="duplicateValues" dxfId="3" priority="4"/>
  </conditionalFormatting>
  <conditionalFormatting sqref="B1:B1048576">
    <cfRule type="duplicateValues" dxfId="2" priority="3"/>
  </conditionalFormatting>
  <conditionalFormatting sqref="G2:X40">
    <cfRule type="cellIs" dxfId="0" priority="2" operator="equal">
      <formula>0</formula>
    </cfRule>
    <cfRule type="cellIs" dxfId="1"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1"/>
  <sheetViews>
    <sheetView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row r="41" spans="8:8" x14ac:dyDescent="0.3">
      <c r="H41" s="1" t="b">
        <f>Task_1!C5=SUMIF(H2:H40,"&gt;=20")</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0"/>
  <sheetViews>
    <sheetView topLeftCell="A4" zoomScaleNormal="100" workbookViewId="0">
      <selection activeCell="F30" sqref="F30"/>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164</v>
      </c>
    </row>
    <row r="2" spans="1:7" s="41" customFormat="1" ht="21" x14ac:dyDescent="0.4">
      <c r="B2" s="41" t="s">
        <v>161</v>
      </c>
    </row>
    <row r="3" spans="1:7" ht="14.4" x14ac:dyDescent="0.3">
      <c r="A3" s="1"/>
      <c r="B3" s="1"/>
      <c r="C3" s="1"/>
      <c r="D3" s="1"/>
      <c r="E3" s="1"/>
      <c r="F3" s="1"/>
      <c r="G3" s="1"/>
    </row>
    <row r="4" spans="1:7" ht="23.4" x14ac:dyDescent="0.45">
      <c r="A4" s="18" t="s">
        <v>162</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f>VLOOKUP(A6,Dataset!A1:X40,7,FALSE)</f>
        <v>2.7</v>
      </c>
      <c r="C6" s="12">
        <f>VLOOKUP(A6,Dataset!A1:X40,14,FALSE)</f>
        <v>7.6</v>
      </c>
      <c r="D6" s="12">
        <f>VLOOKUP(A6,Dataset!A1:X40,18,FALSE)</f>
        <v>4.2</v>
      </c>
      <c r="E6" s="12">
        <f>VLOOKUP(A6,Dataset!A1:X40,20,FALSE)</f>
        <v>8.9</v>
      </c>
      <c r="F6" s="8">
        <f>VLOOKUP(A6,Dataset!A1:X40,22,FALSE)</f>
        <v>4.2</v>
      </c>
    </row>
    <row r="7" spans="1:7" ht="14.4" x14ac:dyDescent="0.3">
      <c r="A7" s="7" t="s">
        <v>4</v>
      </c>
      <c r="B7" s="12">
        <f>VLOOKUP(A7,Dataset!A2:X41,7,FALSE)</f>
        <v>2.7</v>
      </c>
      <c r="C7" s="12">
        <f>VLOOKUP(A7,Dataset!A2:X41,14,FALSE)</f>
        <v>7.6</v>
      </c>
      <c r="D7" s="12">
        <f>VLOOKUP(A7,Dataset!A2:X41,18,FALSE)</f>
        <v>4.2</v>
      </c>
      <c r="E7" s="12">
        <f>VLOOKUP(A7,Dataset!A2:X41,20,FALSE)</f>
        <v>8.9</v>
      </c>
      <c r="F7" s="8">
        <f>VLOOKUP(A7,Dataset!A2:X41,22,FALSE)</f>
        <v>4.2</v>
      </c>
    </row>
    <row r="8" spans="1:7" ht="14.4" x14ac:dyDescent="0.3">
      <c r="A8" s="7" t="s">
        <v>7</v>
      </c>
      <c r="B8" s="12">
        <f>VLOOKUP(A8,Dataset!A3:X42,7,FALSE)</f>
        <v>3.6</v>
      </c>
      <c r="C8" s="12">
        <f>VLOOKUP(A8,Dataset!A3:X42,14,FALSE)</f>
        <v>11.1</v>
      </c>
      <c r="D8" s="12">
        <f>VLOOKUP(A8,Dataset!A3:X42,18,FALSE)</f>
        <v>5.8</v>
      </c>
      <c r="E8" s="12">
        <f>VLOOKUP(A8,Dataset!A3:X42,20,FALSE)</f>
        <v>12.2</v>
      </c>
      <c r="F8" s="8">
        <f>VLOOKUP(A8,Dataset!A3:X42,22,FALSE)</f>
        <v>5.8</v>
      </c>
    </row>
    <row r="9" spans="1:7" ht="14.4" x14ac:dyDescent="0.3">
      <c r="A9" s="7" t="s">
        <v>8</v>
      </c>
      <c r="B9" s="12">
        <f>VLOOKUP(A9,Dataset!A4:X43,7,FALSE)</f>
        <v>4.9000000000000004</v>
      </c>
      <c r="C9" s="12">
        <f>VLOOKUP(A9,Dataset!A4:X43,14,FALSE)</f>
        <v>13.3</v>
      </c>
      <c r="D9" s="12">
        <f>VLOOKUP(A9,Dataset!A4:X43,18,FALSE)</f>
        <v>8.1</v>
      </c>
      <c r="E9" s="12">
        <f>VLOOKUP(A9,Dataset!A4:X43,20,FALSE)</f>
        <v>17</v>
      </c>
      <c r="F9" s="8">
        <f>VLOOKUP(A9,Dataset!A4:X43,22,FALSE)</f>
        <v>8.1</v>
      </c>
    </row>
    <row r="10" spans="1:7" ht="14.4" x14ac:dyDescent="0.3">
      <c r="A10" s="7" t="s">
        <v>11</v>
      </c>
      <c r="B10" s="12">
        <f>VLOOKUP(A10,Dataset!A5:X44,7,FALSE)</f>
        <v>9.4</v>
      </c>
      <c r="C10" s="12">
        <f>VLOOKUP(A10,Dataset!A5:X44,14,FALSE)</f>
        <v>28.3</v>
      </c>
      <c r="D10" s="12">
        <f>VLOOKUP(A10,Dataset!A5:X44,18,FALSE)</f>
        <v>16.100000000000001</v>
      </c>
      <c r="E10" s="12">
        <f>VLOOKUP(A10,Dataset!A5:X44,20,FALSE)</f>
        <v>32.799999999999997</v>
      </c>
      <c r="F10" s="8">
        <f>VLOOKUP(A10,Dataset!A5:X44,22,FALSE)</f>
        <v>16.100000000000001</v>
      </c>
    </row>
    <row r="11" spans="1:7" ht="14.4" x14ac:dyDescent="0.3">
      <c r="A11" s="7" t="s">
        <v>12</v>
      </c>
      <c r="B11" s="12">
        <f>VLOOKUP(A11,Dataset!A6:X45,7,FALSE)</f>
        <v>11.6</v>
      </c>
      <c r="C11" s="12">
        <f>VLOOKUP(A11,Dataset!A6:X45,14,FALSE)</f>
        <v>35.200000000000003</v>
      </c>
      <c r="D11" s="12">
        <f>VLOOKUP(A11,Dataset!A6:X45,18,FALSE)</f>
        <v>21.3</v>
      </c>
      <c r="E11" s="12">
        <f>VLOOKUP(A11,Dataset!A6:X45,20,FALSE)</f>
        <v>43</v>
      </c>
      <c r="F11" s="8">
        <f>VLOOKUP(A11,Dataset!A6:X45,22,FALSE)</f>
        <v>21.3</v>
      </c>
    </row>
    <row r="12" spans="1:7" ht="14.4" x14ac:dyDescent="0.3">
      <c r="A12" s="7" t="s">
        <v>14</v>
      </c>
      <c r="B12" s="12">
        <f>VLOOKUP(A12,Dataset!A7:X46,7,FALSE)</f>
        <v>18.399999999999999</v>
      </c>
      <c r="C12" s="12">
        <f>VLOOKUP(A12,Dataset!A7:X46,14,FALSE)</f>
        <v>55.6</v>
      </c>
      <c r="D12" s="12">
        <f>VLOOKUP(A12,Dataset!A7:X46,18,FALSE)</f>
        <v>33.799999999999997</v>
      </c>
      <c r="E12" s="12">
        <f>VLOOKUP(A12,Dataset!A7:X46,20,FALSE)</f>
        <v>67.900000000000006</v>
      </c>
      <c r="F12" s="8">
        <f>VLOOKUP(A12,Dataset!A7:X46,22,FALSE)</f>
        <v>33.799999999999997</v>
      </c>
    </row>
    <row r="13" spans="1:7" ht="14.4" x14ac:dyDescent="0.3">
      <c r="A13" s="7" t="s">
        <v>15</v>
      </c>
      <c r="B13" s="12">
        <f>VLOOKUP(A13,Dataset!A8:X47,7,FALSE)</f>
        <v>0</v>
      </c>
      <c r="C13" s="12">
        <f>VLOOKUP(A13,Dataset!A8:X47,14,FALSE)</f>
        <v>0</v>
      </c>
      <c r="D13" s="12">
        <f>VLOOKUP(A13,Dataset!A8:X47,18,FALSE)</f>
        <v>0</v>
      </c>
      <c r="E13" s="12">
        <f>VLOOKUP(A13,Dataset!A8:X47,20,FALSE)</f>
        <v>0</v>
      </c>
      <c r="F13" s="8">
        <f>VLOOKUP(A13,Dataset!A8:X47,22,FALSE)</f>
        <v>0</v>
      </c>
    </row>
    <row r="14" spans="1:7" ht="14.4" x14ac:dyDescent="0.3">
      <c r="A14" s="7" t="s">
        <v>16</v>
      </c>
      <c r="B14" s="12">
        <f>VLOOKUP(A14,Dataset!A9:X48,7,FALSE)</f>
        <v>21.9</v>
      </c>
      <c r="C14" s="12">
        <f>VLOOKUP(A14,Dataset!A9:X48,14,FALSE)</f>
        <v>61.5</v>
      </c>
      <c r="D14" s="12">
        <f>VLOOKUP(A14,Dataset!A9:X48,18,FALSE)</f>
        <v>40.1</v>
      </c>
      <c r="E14" s="12">
        <f>VLOOKUP(A14,Dataset!A9:X48,20,FALSE)</f>
        <v>76.599999999999994</v>
      </c>
      <c r="F14" s="8">
        <f>VLOOKUP(A14,Dataset!A9:X48,22,FALSE)</f>
        <v>40.1</v>
      </c>
    </row>
    <row r="15" spans="1:7" ht="14.4" x14ac:dyDescent="0.3">
      <c r="A15" s="7" t="s">
        <v>18</v>
      </c>
      <c r="B15" s="12">
        <f>VLOOKUP(A15,Dataset!A10:X49,7,FALSE)</f>
        <v>26.8</v>
      </c>
      <c r="C15" s="12">
        <f>VLOOKUP(A15,Dataset!A10:X49,14,FALSE)</f>
        <v>79.599999999999994</v>
      </c>
      <c r="D15" s="12">
        <f>VLOOKUP(A15,Dataset!A10:X49,18,FALSE)</f>
        <v>47.9</v>
      </c>
      <c r="E15" s="12">
        <f>VLOOKUP(A15,Dataset!A10:X49,20,FALSE)</f>
        <v>96.8</v>
      </c>
      <c r="F15" s="8">
        <f>VLOOKUP(A15,Dataset!A10:X49,22,FALSE)</f>
        <v>47.9</v>
      </c>
    </row>
    <row r="16" spans="1:7" ht="14.4" x14ac:dyDescent="0.3">
      <c r="A16" s="7" t="s">
        <v>20</v>
      </c>
      <c r="B16" s="12">
        <f>VLOOKUP(A16,Dataset!A11:X50,7,FALSE)</f>
        <v>28.5</v>
      </c>
      <c r="C16" s="12">
        <f>VLOOKUP(A16,Dataset!A11:X50,14,FALSE)</f>
        <v>85.4</v>
      </c>
      <c r="D16" s="12">
        <f>VLOOKUP(A16,Dataset!A11:X50,18,FALSE)</f>
        <v>52.3</v>
      </c>
      <c r="E16" s="12">
        <f>VLOOKUP(A16,Dataset!A11:X50,20,FALSE)</f>
        <v>106.1</v>
      </c>
      <c r="F16" s="8">
        <f>VLOOKUP(A16,Dataset!A11:X50,22,FALSE)</f>
        <v>52.3</v>
      </c>
    </row>
    <row r="17" spans="1:6" ht="14.4" x14ac:dyDescent="0.3">
      <c r="A17" s="7" t="s">
        <v>22</v>
      </c>
      <c r="B17" s="12">
        <f>VLOOKUP(A17,Dataset!A12:X51,7,FALSE)</f>
        <v>30.7</v>
      </c>
      <c r="C17" s="12">
        <f>VLOOKUP(A17,Dataset!A12:X51,14,FALSE)</f>
        <v>92.1</v>
      </c>
      <c r="D17" s="12">
        <f>VLOOKUP(A17,Dataset!A12:X51,18,FALSE)</f>
        <v>57</v>
      </c>
      <c r="E17" s="12">
        <f>VLOOKUP(A17,Dataset!A12:X51,20,FALSE)</f>
        <v>115.1</v>
      </c>
      <c r="F17" s="8">
        <f>VLOOKUP(A17,Dataset!A12:X51,22,FALSE)</f>
        <v>57</v>
      </c>
    </row>
    <row r="18" spans="1:6" ht="14.4" x14ac:dyDescent="0.3">
      <c r="A18" s="7" t="s">
        <v>23</v>
      </c>
      <c r="B18" s="12">
        <f>VLOOKUP(A18,Dataset!A13:X52,7,FALSE)</f>
        <v>33.799999999999997</v>
      </c>
      <c r="C18" s="12">
        <f>VLOOKUP(A18,Dataset!A13:X52,14,FALSE)</f>
        <v>101.3</v>
      </c>
      <c r="D18" s="12">
        <f>VLOOKUP(A18,Dataset!A13:X52,18,FALSE)</f>
        <v>61.4</v>
      </c>
      <c r="E18" s="12">
        <f>VLOOKUP(A18,Dataset!A13:X52,20,FALSE)</f>
        <v>124.4</v>
      </c>
      <c r="F18" s="8">
        <f>VLOOKUP(A18,Dataset!A13:X52,22,FALSE)</f>
        <v>61.4</v>
      </c>
    </row>
    <row r="19" spans="1:6" ht="14.4" x14ac:dyDescent="0.3">
      <c r="A19" s="7" t="s">
        <v>24</v>
      </c>
      <c r="B19" s="12">
        <f>VLOOKUP(A19,Dataset!A14:X53,7,FALSE)</f>
        <v>34.700000000000003</v>
      </c>
      <c r="C19" s="12">
        <f>VLOOKUP(A19,Dataset!A14:X53,14,FALSE)</f>
        <v>106.1</v>
      </c>
      <c r="D19" s="12">
        <f>VLOOKUP(A19,Dataset!A14:X53,18,FALSE)</f>
        <v>63.6</v>
      </c>
      <c r="E19" s="12">
        <f>VLOOKUP(A19,Dataset!A14:X53,20,FALSE)</f>
        <v>128.6</v>
      </c>
      <c r="F19" s="8">
        <f>VLOOKUP(A19,Dataset!A14:X53,22,FALSE)</f>
        <v>63.6</v>
      </c>
    </row>
    <row r="20" spans="1:6" ht="14.4" x14ac:dyDescent="0.3">
      <c r="A20" s="7" t="s">
        <v>28</v>
      </c>
      <c r="B20" s="12">
        <f>VLOOKUP(A20,Dataset!A15:X54,7,FALSE)</f>
        <v>0</v>
      </c>
      <c r="C20" s="12">
        <f>VLOOKUP(A20,Dataset!A15:X54,14,FALSE)</f>
        <v>0</v>
      </c>
      <c r="D20" s="12">
        <f>VLOOKUP(A20,Dataset!A15:X54,18,FALSE)</f>
        <v>0</v>
      </c>
      <c r="E20" s="12">
        <f>VLOOKUP(A20,Dataset!A15:X54,20,FALSE)</f>
        <v>0</v>
      </c>
      <c r="F20" s="8">
        <f>VLOOKUP(A20,Dataset!A15:X54,22,FALSE)</f>
        <v>0</v>
      </c>
    </row>
    <row r="21" spans="1:6" ht="14.4" x14ac:dyDescent="0.3">
      <c r="A21" s="7" t="s">
        <v>57</v>
      </c>
      <c r="B21" s="12">
        <f>VLOOKUP(A21,Dataset!A16:X55,7,FALSE)</f>
        <v>41.3</v>
      </c>
      <c r="C21" s="12">
        <f>VLOOKUP(A21,Dataset!A16:X55,14,FALSE)</f>
        <v>124.4</v>
      </c>
      <c r="D21" s="12">
        <f>VLOOKUP(A21,Dataset!A16:X55,18,FALSE)</f>
        <v>75</v>
      </c>
      <c r="E21" s="12">
        <f>VLOOKUP(A21,Dataset!A16:X55,20,FALSE)</f>
        <v>151.5</v>
      </c>
      <c r="F21" s="8">
        <f>VLOOKUP(A21,Dataset!A16:X55,22,FALSE)</f>
        <v>75</v>
      </c>
    </row>
    <row r="22" spans="1:6" ht="14.4" x14ac:dyDescent="0.3">
      <c r="A22" s="7" t="s">
        <v>58</v>
      </c>
      <c r="B22" s="12">
        <f>VLOOKUP(A22,Dataset!A17:X56,7,FALSE)</f>
        <v>-1</v>
      </c>
      <c r="C22" s="12">
        <f>VLOOKUP(A22,Dataset!A17:X56,14,FALSE)</f>
        <v>-1</v>
      </c>
      <c r="D22" s="12">
        <f>VLOOKUP(A22,Dataset!A17:X56,18,FALSE)</f>
        <v>-1</v>
      </c>
      <c r="E22" s="12">
        <f>VLOOKUP(A22,Dataset!A17:X56,20,FALSE)</f>
        <v>-1</v>
      </c>
      <c r="F22" s="8">
        <f>VLOOKUP(A22,Dataset!A17:X56,22,FALSE)</f>
        <v>-1</v>
      </c>
    </row>
    <row r="23" spans="1:6" ht="14.4" x14ac:dyDescent="0.3">
      <c r="A23" s="7" t="s">
        <v>31</v>
      </c>
      <c r="B23" s="12">
        <f>VLOOKUP(A23,Dataset!A18:X57,7,FALSE)</f>
        <v>45</v>
      </c>
      <c r="C23" s="12">
        <f>VLOOKUP(A23,Dataset!A18:X57,14,FALSE)</f>
        <v>133.4</v>
      </c>
      <c r="D23" s="12">
        <f>VLOOKUP(A23,Dataset!A18:X57,18,FALSE)</f>
        <v>79.400000000000006</v>
      </c>
      <c r="E23" s="12">
        <f>VLOOKUP(A23,Dataset!A18:X57,20,FALSE)</f>
        <v>160.9</v>
      </c>
      <c r="F23" s="8">
        <f>VLOOKUP(A23,Dataset!A18:X57,22,FALSE)</f>
        <v>79.400000000000006</v>
      </c>
    </row>
    <row r="24" spans="1:6" ht="14.4" x14ac:dyDescent="0.3">
      <c r="A24" s="7" t="s">
        <v>32</v>
      </c>
      <c r="B24" s="12">
        <f>VLOOKUP(A24,Dataset!A19:X58,7,FALSE)</f>
        <v>-1</v>
      </c>
      <c r="C24" s="12">
        <f>VLOOKUP(A24,Dataset!A19:X58,14,FALSE)</f>
        <v>-1</v>
      </c>
      <c r="D24" s="12">
        <f>VLOOKUP(A24,Dataset!A19:X58,18,FALSE)</f>
        <v>-1</v>
      </c>
      <c r="E24" s="12">
        <f>VLOOKUP(A24,Dataset!A19:X58,20,FALSE)</f>
        <v>-1</v>
      </c>
      <c r="F24" s="8">
        <f>VLOOKUP(A24,Dataset!A19:X58,22,FALSE)</f>
        <v>-1</v>
      </c>
    </row>
    <row r="25" spans="1:6" ht="14.4" x14ac:dyDescent="0.3">
      <c r="A25" s="7" t="s">
        <v>34</v>
      </c>
      <c r="B25" s="12">
        <f>VLOOKUP(A25,Dataset!A20:X59,7,FALSE)</f>
        <v>43.3</v>
      </c>
      <c r="C25" s="12">
        <f>VLOOKUP(A25,Dataset!A20:X59,14,FALSE)</f>
        <v>128.6</v>
      </c>
      <c r="D25" s="12">
        <f>VLOOKUP(A25,Dataset!A20:X59,18,FALSE)</f>
        <v>79.400000000000006</v>
      </c>
      <c r="E25" s="12">
        <f>VLOOKUP(A25,Dataset!A20:X59,20,FALSE)</f>
        <v>160.9</v>
      </c>
      <c r="F25" s="8">
        <f>VLOOKUP(A25,Dataset!A20:X59,22,FALSE)</f>
        <v>79.400000000000006</v>
      </c>
    </row>
    <row r="26" spans="1:6" ht="14.4" x14ac:dyDescent="0.3">
      <c r="A26" s="7" t="s">
        <v>37</v>
      </c>
      <c r="B26" s="12">
        <f>VLOOKUP(A26,Dataset!A21:X60,7,FALSE)</f>
        <v>49.1</v>
      </c>
      <c r="C26" s="12">
        <f>VLOOKUP(A26,Dataset!A21:X60,14,FALSE)</f>
        <v>146.80000000000001</v>
      </c>
      <c r="D26" s="12">
        <f>VLOOKUP(A26,Dataset!A21:X60,18,FALSE)</f>
        <v>90.9</v>
      </c>
      <c r="E26" s="12">
        <f>VLOOKUP(A26,Dataset!A21:X60,20,FALSE)</f>
        <v>183.5</v>
      </c>
      <c r="F26" s="8">
        <f>VLOOKUP(A26,Dataset!A21:X60,22,FALSE)</f>
        <v>90.9</v>
      </c>
    </row>
    <row r="27" spans="1:6" ht="14.4" x14ac:dyDescent="0.3">
      <c r="A27" s="7" t="s">
        <v>39</v>
      </c>
      <c r="B27" s="12">
        <f>VLOOKUP(A27,Dataset!A22:X61,7,FALSE)</f>
        <v>51.8</v>
      </c>
      <c r="C27" s="12">
        <f>VLOOKUP(A27,Dataset!A22:X61,14,FALSE)</f>
        <v>156.4</v>
      </c>
      <c r="D27" s="12">
        <f>VLOOKUP(A27,Dataset!A22:X61,18,FALSE)</f>
        <v>93.1</v>
      </c>
      <c r="E27" s="12">
        <f>VLOOKUP(A27,Dataset!A22:X61,20,FALSE)</f>
        <v>188.1</v>
      </c>
      <c r="F27" s="8">
        <f>VLOOKUP(A27,Dataset!A22:X61,22,FALSE)</f>
        <v>93.1</v>
      </c>
    </row>
    <row r="28" spans="1:6" ht="14.4" x14ac:dyDescent="0.3">
      <c r="A28" s="19" t="s">
        <v>82</v>
      </c>
      <c r="B28" s="31">
        <f>MIN(B6:B27)</f>
        <v>-1</v>
      </c>
      <c r="C28" s="31">
        <f t="shared" ref="C28:F28" si="0">MIN(C6:C27)</f>
        <v>-1</v>
      </c>
      <c r="D28" s="31">
        <f t="shared" si="0"/>
        <v>-1</v>
      </c>
      <c r="E28" s="31">
        <f t="shared" si="0"/>
        <v>-1</v>
      </c>
      <c r="F28" s="31">
        <f t="shared" si="0"/>
        <v>-1</v>
      </c>
    </row>
    <row r="29" spans="1:6" ht="14.4" x14ac:dyDescent="0.3">
      <c r="A29" s="19" t="s">
        <v>83</v>
      </c>
      <c r="B29" s="31">
        <f>MAX(B6:B27)</f>
        <v>51.8</v>
      </c>
      <c r="C29" s="31">
        <f t="shared" ref="C29:F29" si="1">MAX(C6:C27)</f>
        <v>156.4</v>
      </c>
      <c r="D29" s="31">
        <f t="shared" si="1"/>
        <v>93.1</v>
      </c>
      <c r="E29" s="31">
        <f t="shared" si="1"/>
        <v>188.1</v>
      </c>
      <c r="F29" s="31">
        <f t="shared" si="1"/>
        <v>93.1</v>
      </c>
    </row>
    <row r="30" spans="1:6" ht="14.4" x14ac:dyDescent="0.3">
      <c r="A30" s="19" t="s">
        <v>84</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4"/>
  <sheetViews>
    <sheetView topLeftCell="A34" zoomScaleNormal="100" workbookViewId="0">
      <selection activeCell="B7" sqref="B7"/>
    </sheetView>
  </sheetViews>
  <sheetFormatPr defaultColWidth="11" defaultRowHeight="14.4" x14ac:dyDescent="0.3"/>
  <cols>
    <col min="1" max="1" width="39.77734375" style="1" bestFit="1" customWidth="1"/>
    <col min="2" max="16384" width="11" style="1"/>
  </cols>
  <sheetData>
    <row r="1" spans="1:10" s="41" customFormat="1" ht="21" x14ac:dyDescent="0.4">
      <c r="A1" s="42" t="s">
        <v>56</v>
      </c>
      <c r="B1" s="41" t="s">
        <v>174</v>
      </c>
    </row>
    <row r="2" spans="1:10" customFormat="1" ht="13.2" x14ac:dyDescent="0.25"/>
    <row r="3" spans="1:10" s="2" customFormat="1" x14ac:dyDescent="0.3">
      <c r="B3" s="1"/>
    </row>
    <row r="4" spans="1:10" s="2" customFormat="1" x14ac:dyDescent="0.3">
      <c r="B4" s="1" t="s">
        <v>151</v>
      </c>
    </row>
    <row r="5" spans="1:10" ht="18" x14ac:dyDescent="0.35">
      <c r="A5" s="43" t="s">
        <v>53</v>
      </c>
      <c r="B5" s="40" t="s">
        <v>182</v>
      </c>
    </row>
    <row r="6" spans="1:10" ht="18" x14ac:dyDescent="0.35">
      <c r="A6" s="43" t="s">
        <v>153</v>
      </c>
      <c r="B6" s="40" t="s">
        <v>183</v>
      </c>
    </row>
    <row r="7" spans="1:10" ht="18" x14ac:dyDescent="0.35">
      <c r="A7" s="43"/>
      <c r="B7" s="40"/>
    </row>
    <row r="9" spans="1:10" ht="23.4" x14ac:dyDescent="0.45">
      <c r="A9" s="18" t="s">
        <v>165</v>
      </c>
      <c r="I9" s="2"/>
      <c r="J9" s="2"/>
    </row>
    <row r="10" spans="1:10" x14ac:dyDescent="0.3">
      <c r="A10" s="33" t="s">
        <v>102</v>
      </c>
      <c r="B10" s="17" t="s">
        <v>49</v>
      </c>
      <c r="C10" s="17" t="s">
        <v>50</v>
      </c>
      <c r="D10" s="17" t="s">
        <v>51</v>
      </c>
      <c r="E10" s="17" t="s">
        <v>52</v>
      </c>
      <c r="F10" s="17" t="s">
        <v>54</v>
      </c>
      <c r="I10" s="2"/>
      <c r="J10" s="2"/>
    </row>
    <row r="11" spans="1:10" x14ac:dyDescent="0.3">
      <c r="A11" s="9" t="s">
        <v>121</v>
      </c>
      <c r="B11" s="13">
        <v>20000</v>
      </c>
      <c r="C11" s="13" t="s">
        <v>5</v>
      </c>
      <c r="D11" s="13">
        <v>0</v>
      </c>
      <c r="E11" s="11" t="s">
        <v>6</v>
      </c>
      <c r="F11" s="11">
        <v>24</v>
      </c>
      <c r="I11" s="2"/>
      <c r="J11" s="2"/>
    </row>
    <row r="14" spans="1:10" ht="23.4" x14ac:dyDescent="0.45">
      <c r="A14" s="18" t="s">
        <v>162</v>
      </c>
    </row>
    <row r="15" spans="1:10" x14ac:dyDescent="0.3">
      <c r="A15" s="14" t="s">
        <v>103</v>
      </c>
      <c r="B15" s="17" t="s">
        <v>49</v>
      </c>
      <c r="C15" s="15" t="s">
        <v>50</v>
      </c>
      <c r="D15" s="17" t="s">
        <v>51</v>
      </c>
      <c r="E15" s="15" t="s">
        <v>52</v>
      </c>
      <c r="F15" s="17" t="s">
        <v>54</v>
      </c>
    </row>
    <row r="16" spans="1:10" x14ac:dyDescent="0.3">
      <c r="A16" s="7" t="s">
        <v>121</v>
      </c>
      <c r="B16" s="7">
        <v>20000</v>
      </c>
      <c r="C16" s="1" t="s">
        <v>5</v>
      </c>
      <c r="D16" s="12">
        <v>0</v>
      </c>
      <c r="E16" s="1" t="s">
        <v>6</v>
      </c>
      <c r="F16" s="12">
        <v>24</v>
      </c>
    </row>
    <row r="17" spans="1:6" x14ac:dyDescent="0.3">
      <c r="A17" s="7" t="s">
        <v>122</v>
      </c>
      <c r="B17" s="7">
        <v>20002</v>
      </c>
      <c r="C17" s="1" t="s">
        <v>5</v>
      </c>
      <c r="D17" s="12">
        <v>0</v>
      </c>
      <c r="E17" s="1" t="s">
        <v>6</v>
      </c>
      <c r="F17" s="12">
        <v>24</v>
      </c>
    </row>
    <row r="18" spans="1:6" x14ac:dyDescent="0.3">
      <c r="A18" s="7" t="s">
        <v>123</v>
      </c>
      <c r="B18" s="7">
        <v>20004</v>
      </c>
      <c r="C18" s="1" t="s">
        <v>5</v>
      </c>
      <c r="D18" s="12">
        <v>0</v>
      </c>
      <c r="E18" s="1" t="s">
        <v>6</v>
      </c>
      <c r="F18" s="12">
        <v>24</v>
      </c>
    </row>
    <row r="19" spans="1:6" x14ac:dyDescent="0.3">
      <c r="A19" s="7" t="s">
        <v>124</v>
      </c>
      <c r="B19" s="7">
        <v>20006</v>
      </c>
      <c r="C19" s="1" t="s">
        <v>5</v>
      </c>
      <c r="D19" s="12">
        <v>0</v>
      </c>
      <c r="E19" s="1" t="s">
        <v>6</v>
      </c>
      <c r="F19" s="12">
        <v>24</v>
      </c>
    </row>
    <row r="20" spans="1:6" x14ac:dyDescent="0.3">
      <c r="A20" s="7" t="s">
        <v>125</v>
      </c>
      <c r="B20" s="7">
        <v>20008</v>
      </c>
      <c r="C20" s="1" t="s">
        <v>5</v>
      </c>
      <c r="D20" s="12">
        <v>0</v>
      </c>
      <c r="E20" s="1" t="s">
        <v>6</v>
      </c>
      <c r="F20" s="12">
        <v>24</v>
      </c>
    </row>
    <row r="21" spans="1:6" x14ac:dyDescent="0.3">
      <c r="A21" s="7" t="s">
        <v>126</v>
      </c>
      <c r="B21" s="7">
        <v>20010</v>
      </c>
      <c r="C21" s="1" t="s">
        <v>5</v>
      </c>
      <c r="D21" s="12">
        <v>0</v>
      </c>
      <c r="E21" s="1" t="s">
        <v>6</v>
      </c>
      <c r="F21" s="12">
        <v>24</v>
      </c>
    </row>
    <row r="22" spans="1:6" x14ac:dyDescent="0.3">
      <c r="A22" s="7" t="s">
        <v>127</v>
      </c>
      <c r="B22" s="7">
        <v>20012</v>
      </c>
      <c r="C22" s="1" t="s">
        <v>5</v>
      </c>
      <c r="D22" s="12">
        <v>0</v>
      </c>
      <c r="E22" s="1" t="s">
        <v>6</v>
      </c>
      <c r="F22" s="12">
        <v>24</v>
      </c>
    </row>
    <row r="23" spans="1:6" x14ac:dyDescent="0.3">
      <c r="A23" s="7" t="s">
        <v>128</v>
      </c>
      <c r="B23" s="7">
        <v>20014</v>
      </c>
      <c r="C23" s="1" t="s">
        <v>5</v>
      </c>
      <c r="D23" s="12">
        <v>0</v>
      </c>
      <c r="E23" s="1" t="s">
        <v>6</v>
      </c>
      <c r="F23" s="12">
        <v>24</v>
      </c>
    </row>
    <row r="24" spans="1:6" x14ac:dyDescent="0.3">
      <c r="A24" s="7" t="s">
        <v>129</v>
      </c>
      <c r="B24" s="7">
        <v>20016</v>
      </c>
      <c r="C24" s="1" t="s">
        <v>5</v>
      </c>
      <c r="D24" s="12">
        <v>0</v>
      </c>
      <c r="E24" s="1" t="s">
        <v>6</v>
      </c>
      <c r="F24" s="12">
        <v>24</v>
      </c>
    </row>
    <row r="25" spans="1:6" x14ac:dyDescent="0.3">
      <c r="A25" s="7" t="s">
        <v>130</v>
      </c>
      <c r="B25" s="7">
        <v>20018</v>
      </c>
      <c r="C25" s="1" t="s">
        <v>5</v>
      </c>
      <c r="D25" s="12">
        <v>0</v>
      </c>
      <c r="E25" s="1" t="s">
        <v>6</v>
      </c>
      <c r="F25" s="12">
        <v>24</v>
      </c>
    </row>
    <row r="26" spans="1:6" x14ac:dyDescent="0.3">
      <c r="A26" s="7" t="s">
        <v>131</v>
      </c>
      <c r="B26" s="7">
        <v>20020</v>
      </c>
      <c r="C26" s="1" t="s">
        <v>5</v>
      </c>
      <c r="D26" s="12">
        <v>0</v>
      </c>
      <c r="E26" s="1" t="s">
        <v>6</v>
      </c>
      <c r="F26" s="12">
        <v>24</v>
      </c>
    </row>
    <row r="27" spans="1:6" x14ac:dyDescent="0.3">
      <c r="A27" s="7" t="s">
        <v>132</v>
      </c>
      <c r="B27" s="7">
        <v>20022</v>
      </c>
      <c r="C27" s="1" t="s">
        <v>5</v>
      </c>
      <c r="D27" s="12">
        <v>0</v>
      </c>
      <c r="E27" s="1" t="s">
        <v>6</v>
      </c>
      <c r="F27" s="12">
        <v>24</v>
      </c>
    </row>
    <row r="28" spans="1:6" x14ac:dyDescent="0.3">
      <c r="A28" s="7" t="s">
        <v>133</v>
      </c>
      <c r="B28" s="7">
        <v>20024</v>
      </c>
      <c r="C28" s="1" t="s">
        <v>5</v>
      </c>
      <c r="D28" s="12">
        <v>0</v>
      </c>
      <c r="E28" s="1" t="s">
        <v>6</v>
      </c>
      <c r="F28" s="12">
        <v>24</v>
      </c>
    </row>
    <row r="29" spans="1:6" x14ac:dyDescent="0.3">
      <c r="A29" s="7" t="s">
        <v>134</v>
      </c>
      <c r="B29" s="7">
        <v>20026</v>
      </c>
      <c r="C29" s="1" t="s">
        <v>5</v>
      </c>
      <c r="D29" s="12">
        <v>0</v>
      </c>
      <c r="E29" s="1" t="s">
        <v>6</v>
      </c>
      <c r="F29" s="12">
        <v>24</v>
      </c>
    </row>
    <row r="30" spans="1:6" x14ac:dyDescent="0.3">
      <c r="A30" s="7" t="s">
        <v>135</v>
      </c>
      <c r="B30" s="7">
        <v>20028</v>
      </c>
      <c r="C30" s="1" t="s">
        <v>5</v>
      </c>
      <c r="D30" s="12">
        <v>0</v>
      </c>
      <c r="E30" s="1" t="s">
        <v>6</v>
      </c>
      <c r="F30" s="12">
        <v>24</v>
      </c>
    </row>
    <row r="31" spans="1:6" x14ac:dyDescent="0.3">
      <c r="A31" s="7" t="s">
        <v>136</v>
      </c>
      <c r="B31" s="7">
        <v>20030</v>
      </c>
      <c r="C31" s="1" t="s">
        <v>5</v>
      </c>
      <c r="D31" s="12">
        <v>0</v>
      </c>
      <c r="E31" s="1" t="s">
        <v>6</v>
      </c>
      <c r="F31" s="12">
        <v>24</v>
      </c>
    </row>
    <row r="32" spans="1:6" x14ac:dyDescent="0.3">
      <c r="A32" s="7" t="s">
        <v>137</v>
      </c>
      <c r="B32" s="7">
        <v>20032</v>
      </c>
      <c r="C32" s="1" t="s">
        <v>5</v>
      </c>
      <c r="D32" s="12">
        <v>0</v>
      </c>
      <c r="E32" s="1" t="s">
        <v>6</v>
      </c>
      <c r="F32" s="12">
        <v>24</v>
      </c>
    </row>
    <row r="33" spans="1:6" x14ac:dyDescent="0.3">
      <c r="A33" s="7" t="s">
        <v>138</v>
      </c>
      <c r="B33" s="7">
        <v>20034</v>
      </c>
      <c r="C33" s="1" t="s">
        <v>5</v>
      </c>
      <c r="D33" s="12">
        <v>0</v>
      </c>
      <c r="E33" s="1" t="s">
        <v>6</v>
      </c>
      <c r="F33" s="12">
        <v>24</v>
      </c>
    </row>
    <row r="34" spans="1:6" x14ac:dyDescent="0.3">
      <c r="A34" s="7" t="s">
        <v>139</v>
      </c>
      <c r="B34" s="7">
        <v>20036</v>
      </c>
      <c r="C34" s="1" t="s">
        <v>5</v>
      </c>
      <c r="D34" s="12">
        <v>0</v>
      </c>
      <c r="E34" s="1" t="s">
        <v>6</v>
      </c>
      <c r="F34" s="12">
        <v>24</v>
      </c>
    </row>
    <row r="35" spans="1:6" x14ac:dyDescent="0.3">
      <c r="A35" s="7" t="s">
        <v>140</v>
      </c>
      <c r="B35" s="7">
        <v>20038</v>
      </c>
      <c r="C35" s="1" t="s">
        <v>5</v>
      </c>
      <c r="D35" s="12">
        <v>0</v>
      </c>
      <c r="E35" s="1" t="s">
        <v>6</v>
      </c>
      <c r="F35" s="12">
        <v>24</v>
      </c>
    </row>
    <row r="36" spans="1:6" x14ac:dyDescent="0.3">
      <c r="A36" s="7" t="s">
        <v>141</v>
      </c>
      <c r="B36" s="7">
        <v>20040</v>
      </c>
      <c r="C36" s="1" t="s">
        <v>5</v>
      </c>
      <c r="D36" s="12">
        <v>0</v>
      </c>
      <c r="E36" s="1" t="s">
        <v>6</v>
      </c>
      <c r="F36" s="12">
        <v>24</v>
      </c>
    </row>
    <row r="37" spans="1:6" x14ac:dyDescent="0.3">
      <c r="A37" s="7" t="s">
        <v>142</v>
      </c>
      <c r="B37" s="7">
        <v>20042</v>
      </c>
      <c r="C37" s="1" t="s">
        <v>5</v>
      </c>
      <c r="D37" s="12">
        <v>0</v>
      </c>
      <c r="E37" s="1" t="s">
        <v>6</v>
      </c>
      <c r="F37" s="12">
        <v>24</v>
      </c>
    </row>
    <row r="38" spans="1:6" x14ac:dyDescent="0.3">
      <c r="A38" s="7" t="s">
        <v>143</v>
      </c>
      <c r="B38" s="7">
        <v>20044</v>
      </c>
      <c r="C38" s="1" t="s">
        <v>5</v>
      </c>
      <c r="D38" s="12">
        <v>0</v>
      </c>
      <c r="E38" s="1" t="s">
        <v>6</v>
      </c>
      <c r="F38" s="12">
        <v>24</v>
      </c>
    </row>
    <row r="39" spans="1:6" x14ac:dyDescent="0.3">
      <c r="A39" s="7" t="s">
        <v>144</v>
      </c>
      <c r="B39" s="7">
        <v>20046</v>
      </c>
      <c r="C39" s="1" t="s">
        <v>5</v>
      </c>
      <c r="D39" s="12">
        <v>0</v>
      </c>
      <c r="E39" s="1" t="s">
        <v>6</v>
      </c>
      <c r="F39" s="12">
        <v>24</v>
      </c>
    </row>
    <row r="40" spans="1:6" x14ac:dyDescent="0.3">
      <c r="A40" s="7" t="s">
        <v>145</v>
      </c>
      <c r="B40" s="7">
        <v>20048</v>
      </c>
      <c r="C40" s="1" t="s">
        <v>5</v>
      </c>
      <c r="D40" s="12">
        <v>0</v>
      </c>
      <c r="E40" s="1" t="s">
        <v>6</v>
      </c>
      <c r="F40" s="12">
        <v>24</v>
      </c>
    </row>
    <row r="41" spans="1:6" x14ac:dyDescent="0.3">
      <c r="A41" s="7" t="s">
        <v>146</v>
      </c>
      <c r="B41" s="7">
        <v>20050</v>
      </c>
      <c r="C41" s="1" t="s">
        <v>5</v>
      </c>
      <c r="D41" s="12">
        <v>0</v>
      </c>
      <c r="E41" s="1" t="s">
        <v>6</v>
      </c>
      <c r="F41" s="12">
        <v>24</v>
      </c>
    </row>
    <row r="42" spans="1:6" x14ac:dyDescent="0.3">
      <c r="A42" s="7" t="s">
        <v>147</v>
      </c>
      <c r="B42" s="7">
        <v>20052</v>
      </c>
      <c r="C42" s="1" t="s">
        <v>5</v>
      </c>
      <c r="D42" s="12">
        <v>0</v>
      </c>
      <c r="E42" s="1" t="s">
        <v>6</v>
      </c>
      <c r="F42" s="12">
        <v>24</v>
      </c>
    </row>
    <row r="43" spans="1:6" x14ac:dyDescent="0.3">
      <c r="A43" s="7" t="s">
        <v>148</v>
      </c>
      <c r="B43" s="7">
        <v>20054</v>
      </c>
      <c r="C43" s="1" t="s">
        <v>5</v>
      </c>
      <c r="D43" s="12">
        <v>0</v>
      </c>
      <c r="E43" s="1" t="s">
        <v>6</v>
      </c>
      <c r="F43" s="12">
        <v>24</v>
      </c>
    </row>
    <row r="44" spans="1:6" x14ac:dyDescent="0.3">
      <c r="A44" s="7" t="s">
        <v>149</v>
      </c>
      <c r="B44" s="7">
        <v>20058</v>
      </c>
      <c r="C44" s="1" t="s">
        <v>5</v>
      </c>
      <c r="D44" s="12">
        <v>0</v>
      </c>
      <c r="E44" s="1" t="s">
        <v>6</v>
      </c>
      <c r="F44" s="12">
        <v>24</v>
      </c>
    </row>
    <row r="45" spans="1:6" x14ac:dyDescent="0.3">
      <c r="A45" s="7" t="s">
        <v>150</v>
      </c>
      <c r="B45" s="7">
        <v>20060</v>
      </c>
      <c r="C45" s="1" t="s">
        <v>5</v>
      </c>
      <c r="D45" s="12">
        <v>0</v>
      </c>
      <c r="E45" s="1" t="s">
        <v>6</v>
      </c>
      <c r="F45" s="12">
        <v>24</v>
      </c>
    </row>
    <row r="46" spans="1:6" x14ac:dyDescent="0.3">
      <c r="A46" s="7" t="s">
        <v>112</v>
      </c>
      <c r="B46" s="7">
        <v>21000</v>
      </c>
      <c r="C46" s="1" t="s">
        <v>5</v>
      </c>
      <c r="D46" s="12">
        <v>0</v>
      </c>
      <c r="E46" s="1" t="s">
        <v>6</v>
      </c>
      <c r="F46" s="12">
        <v>24</v>
      </c>
    </row>
    <row r="47" spans="1:6" x14ac:dyDescent="0.3">
      <c r="A47" s="7" t="s">
        <v>113</v>
      </c>
      <c r="B47" s="7">
        <v>21002</v>
      </c>
      <c r="C47" s="1" t="s">
        <v>5</v>
      </c>
      <c r="D47" s="12">
        <v>0</v>
      </c>
      <c r="E47" s="1" t="s">
        <v>6</v>
      </c>
      <c r="F47" s="12">
        <v>24</v>
      </c>
    </row>
    <row r="48" spans="1:6" x14ac:dyDescent="0.3">
      <c r="A48" s="7" t="s">
        <v>114</v>
      </c>
      <c r="B48" s="7">
        <v>21004</v>
      </c>
      <c r="C48" s="1" t="s">
        <v>5</v>
      </c>
      <c r="D48" s="12">
        <v>0</v>
      </c>
      <c r="E48" s="1" t="s">
        <v>6</v>
      </c>
      <c r="F48" s="12">
        <v>24</v>
      </c>
    </row>
    <row r="49" spans="1:6" x14ac:dyDescent="0.3">
      <c r="A49" s="7" t="s">
        <v>115</v>
      </c>
      <c r="B49" s="7">
        <v>21006</v>
      </c>
      <c r="C49" s="1" t="s">
        <v>5</v>
      </c>
      <c r="D49" s="12">
        <v>0</v>
      </c>
      <c r="E49" s="1" t="s">
        <v>6</v>
      </c>
      <c r="F49" s="12">
        <v>24</v>
      </c>
    </row>
    <row r="50" spans="1:6" x14ac:dyDescent="0.3">
      <c r="A50" s="7" t="s">
        <v>116</v>
      </c>
      <c r="B50" s="7">
        <v>21008</v>
      </c>
      <c r="C50" s="1" t="s">
        <v>5</v>
      </c>
      <c r="D50" s="12">
        <v>0</v>
      </c>
      <c r="E50" s="1" t="s">
        <v>6</v>
      </c>
      <c r="F50" s="12">
        <v>24</v>
      </c>
    </row>
    <row r="51" spans="1:6" x14ac:dyDescent="0.3">
      <c r="A51" s="7" t="s">
        <v>117</v>
      </c>
      <c r="B51" s="7">
        <v>21010</v>
      </c>
      <c r="C51" s="1" t="s">
        <v>5</v>
      </c>
      <c r="D51" s="12">
        <v>0</v>
      </c>
      <c r="E51" s="1" t="s">
        <v>6</v>
      </c>
      <c r="F51" s="12">
        <v>24</v>
      </c>
    </row>
    <row r="52" spans="1:6" x14ac:dyDescent="0.3">
      <c r="A52" s="7" t="s">
        <v>118</v>
      </c>
      <c r="B52" s="7">
        <v>21012</v>
      </c>
      <c r="C52" s="1" t="s">
        <v>5</v>
      </c>
      <c r="D52" s="12">
        <v>0</v>
      </c>
      <c r="E52" s="1" t="s">
        <v>6</v>
      </c>
      <c r="F52" s="12">
        <v>24</v>
      </c>
    </row>
    <row r="53" spans="1:6" x14ac:dyDescent="0.3">
      <c r="A53" s="7" t="s">
        <v>119</v>
      </c>
      <c r="B53" s="7">
        <v>21014</v>
      </c>
      <c r="C53" s="1" t="s">
        <v>5</v>
      </c>
      <c r="D53" s="12">
        <v>0</v>
      </c>
      <c r="E53" s="1" t="s">
        <v>6</v>
      </c>
      <c r="F53" s="12">
        <v>24</v>
      </c>
    </row>
    <row r="54" spans="1:6" x14ac:dyDescent="0.3">
      <c r="A54" s="9" t="s">
        <v>120</v>
      </c>
      <c r="B54" s="9">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zoomScaleNormal="100" workbookViewId="0">
      <selection activeCell="B8" sqref="B8"/>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167</v>
      </c>
    </row>
    <row r="2" spans="1:3" ht="18" x14ac:dyDescent="0.35">
      <c r="B2" s="40" t="s">
        <v>166</v>
      </c>
    </row>
    <row r="5" spans="1:3" ht="14.4" x14ac:dyDescent="0.3">
      <c r="B5" s="1" t="s">
        <v>151</v>
      </c>
    </row>
    <row r="6" spans="1:3" ht="14.4" x14ac:dyDescent="0.3">
      <c r="A6" s="3" t="s">
        <v>53</v>
      </c>
      <c r="B6" s="1" t="s">
        <v>180</v>
      </c>
    </row>
    <row r="7" spans="1:3" ht="14.4" x14ac:dyDescent="0.3">
      <c r="A7" s="3" t="s">
        <v>153</v>
      </c>
      <c r="B7" s="1" t="s">
        <v>181</v>
      </c>
    </row>
    <row r="10" spans="1:3" ht="23.4" x14ac:dyDescent="0.45">
      <c r="A10" s="18" t="s">
        <v>162</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t="e">
        <v>#N/A</v>
      </c>
    </row>
    <row r="14" spans="1:3" ht="14.4" x14ac:dyDescent="0.3">
      <c r="A14" s="32">
        <v>44929</v>
      </c>
      <c r="B14" s="17" t="s">
        <v>61</v>
      </c>
      <c r="C14" s="17">
        <v>50</v>
      </c>
    </row>
    <row r="15" spans="1:3" ht="14.4" x14ac:dyDescent="0.3">
      <c r="A15" s="32">
        <v>44930</v>
      </c>
      <c r="B15" s="17" t="s">
        <v>62</v>
      </c>
      <c r="C15" s="17" t="e">
        <v>#N/A</v>
      </c>
    </row>
    <row r="16" spans="1:3" ht="14.4" x14ac:dyDescent="0.3">
      <c r="A16" s="32">
        <v>44931</v>
      </c>
      <c r="B16" s="17" t="s">
        <v>63</v>
      </c>
      <c r="C16" s="17">
        <v>10</v>
      </c>
    </row>
    <row r="17" spans="1:3" ht="14.4" x14ac:dyDescent="0.3">
      <c r="A17" s="32">
        <v>44932</v>
      </c>
      <c r="B17" s="17" t="s">
        <v>154</v>
      </c>
      <c r="C17" s="17">
        <v>150</v>
      </c>
    </row>
    <row r="18" spans="1:3" ht="14.4" x14ac:dyDescent="0.3">
      <c r="A18" s="32">
        <v>44933</v>
      </c>
      <c r="B18" s="17" t="s">
        <v>155</v>
      </c>
      <c r="C18" s="17">
        <v>80</v>
      </c>
    </row>
    <row r="19" spans="1:3" ht="14.4" x14ac:dyDescent="0.3">
      <c r="A19" s="32">
        <v>44934</v>
      </c>
      <c r="B19" s="17" t="s">
        <v>156</v>
      </c>
      <c r="C19" s="17" t="e">
        <v>#N/A</v>
      </c>
    </row>
    <row r="20" spans="1:3" ht="14.4" x14ac:dyDescent="0.3">
      <c r="A20" s="32">
        <v>44935</v>
      </c>
      <c r="B20" s="17" t="s">
        <v>157</v>
      </c>
      <c r="C20" s="17">
        <v>30</v>
      </c>
    </row>
    <row r="21" spans="1:3" ht="14.4" x14ac:dyDescent="0.3">
      <c r="A21" s="32">
        <v>44936</v>
      </c>
      <c r="B21" s="17" t="s">
        <v>158</v>
      </c>
      <c r="C21" s="17" t="e">
        <v>#N/A</v>
      </c>
    </row>
    <row r="22" spans="1:3" ht="14.4" x14ac:dyDescent="0.3">
      <c r="B22" s="17" t="s">
        <v>159</v>
      </c>
      <c r="C22" s="25">
        <f>SUM(IFERROR(C12:C21,20))</f>
        <v>20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5"/>
  <sheetViews>
    <sheetView zoomScaleNormal="100" workbookViewId="0">
      <selection activeCell="G23" sqref="G23"/>
    </sheetView>
  </sheetViews>
  <sheetFormatPr defaultColWidth="11" defaultRowHeight="13.8" x14ac:dyDescent="0.3"/>
  <cols>
    <col min="1" max="1" width="31" style="2" customWidth="1"/>
    <col min="2" max="16384" width="11" style="2"/>
  </cols>
  <sheetData>
    <row r="1" spans="1:14" ht="21" x14ac:dyDescent="0.4">
      <c r="A1" s="42" t="s">
        <v>98</v>
      </c>
      <c r="B1" s="41" t="s">
        <v>175</v>
      </c>
    </row>
    <row r="3" spans="1:14" ht="14.4" x14ac:dyDescent="0.3">
      <c r="B3" s="1" t="s">
        <v>151</v>
      </c>
    </row>
    <row r="4" spans="1:14" ht="18" x14ac:dyDescent="0.35">
      <c r="A4" s="43" t="s">
        <v>53</v>
      </c>
      <c r="B4" s="1" t="s">
        <v>178</v>
      </c>
    </row>
    <row r="5" spans="1:14" ht="18" x14ac:dyDescent="0.35">
      <c r="A5" s="43" t="s">
        <v>153</v>
      </c>
      <c r="B5" s="1" t="s">
        <v>179</v>
      </c>
    </row>
    <row r="6" spans="1:14" ht="14.4" x14ac:dyDescent="0.3">
      <c r="A6" s="3"/>
      <c r="B6" s="1"/>
    </row>
    <row r="8" spans="1:14" ht="23.4" x14ac:dyDescent="0.45">
      <c r="A8" s="18" t="s">
        <v>162</v>
      </c>
      <c r="M8" s="18" t="s">
        <v>163</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168</v>
      </c>
    </row>
    <row r="22" spans="1:14" ht="14.4" x14ac:dyDescent="0.3">
      <c r="A22" s="14" t="s">
        <v>100</v>
      </c>
      <c r="B22" s="17" t="s">
        <v>101</v>
      </c>
      <c r="C22" s="16" t="s">
        <v>102</v>
      </c>
    </row>
    <row r="23" spans="1:14" ht="14.4" customHeight="1" x14ac:dyDescent="0.3">
      <c r="A23" s="7">
        <v>10100</v>
      </c>
      <c r="B23" s="12">
        <v>10102</v>
      </c>
      <c r="C23" s="46">
        <f>INDEX($B$10:$J$18,MATCH(VLOOKUP(A23,$M$9:$N$18,2,FALSE),$A$10:$A$18,0),MATCH(VLOOKUP(B23,$M$9:$N$18,2,FALSE),$B$9:$J$9,0))</f>
        <v>95</v>
      </c>
      <c r="G23" s="2">
        <f>INDEX(B10:J18,MATCH(VLOOKUP(A23,M9:N18,2,FALSE),A10:A18,0),MATCH(VLOOKUP(B23,M9:N18,2,FALSE),B9:J9,0))</f>
        <v>95</v>
      </c>
      <c r="H23" s="2" t="str">
        <f>VLOOKUP(A23,M9:N18,2,FALSE)</f>
        <v>A</v>
      </c>
      <c r="I23" s="2" t="str">
        <f>VLOOKUP(B23,M9:N18,2,FALSE)</f>
        <v>B</v>
      </c>
    </row>
    <row r="24" spans="1:14" ht="14.4" x14ac:dyDescent="0.3">
      <c r="A24" s="7">
        <v>10100</v>
      </c>
      <c r="B24" s="12">
        <v>10104</v>
      </c>
      <c r="C24" s="46">
        <f t="shared" ref="C24:C35" si="0">INDEX($B$10:$J$18,MATCH(VLOOKUP(A24,$M$9:$N$18,2,FALSE),$A$10:$A$18,0),MATCH(VLOOKUP(B24,$M$9:$N$18,2,FALSE),$B$9:$J$9,0))</f>
        <v>-1</v>
      </c>
    </row>
    <row r="25" spans="1:14" ht="14.4" x14ac:dyDescent="0.3">
      <c r="A25" s="7">
        <v>10108</v>
      </c>
      <c r="B25" s="12">
        <v>10102</v>
      </c>
      <c r="C25" s="46">
        <f t="shared" si="0"/>
        <v>160</v>
      </c>
    </row>
    <row r="26" spans="1:14" ht="14.4" x14ac:dyDescent="0.3">
      <c r="A26" s="7">
        <v>10100</v>
      </c>
      <c r="B26" s="12">
        <v>10106</v>
      </c>
      <c r="C26" s="46">
        <f t="shared" si="0"/>
        <v>185</v>
      </c>
    </row>
    <row r="27" spans="1:14" ht="14.4" x14ac:dyDescent="0.3">
      <c r="A27" s="7">
        <v>10108</v>
      </c>
      <c r="B27" s="12">
        <v>10110</v>
      </c>
      <c r="C27" s="46">
        <f t="shared" si="0"/>
        <v>50</v>
      </c>
    </row>
    <row r="28" spans="1:14" ht="14.4" x14ac:dyDescent="0.3">
      <c r="A28" s="7">
        <v>10102</v>
      </c>
      <c r="B28" s="12">
        <v>10104</v>
      </c>
      <c r="C28" s="46">
        <f t="shared" si="0"/>
        <v>-1</v>
      </c>
    </row>
    <row r="29" spans="1:14" ht="14.4" x14ac:dyDescent="0.3">
      <c r="A29" s="7">
        <v>10106</v>
      </c>
      <c r="B29" s="12">
        <v>10108</v>
      </c>
      <c r="C29" s="46">
        <f t="shared" si="0"/>
        <v>70</v>
      </c>
    </row>
    <row r="30" spans="1:14" ht="14.4" x14ac:dyDescent="0.3">
      <c r="A30" s="7">
        <v>10102</v>
      </c>
      <c r="B30" s="12">
        <v>10106</v>
      </c>
      <c r="C30" s="46">
        <f t="shared" si="0"/>
        <v>90</v>
      </c>
    </row>
    <row r="31" spans="1:14" ht="14.4" x14ac:dyDescent="0.3">
      <c r="A31" s="7">
        <v>10110</v>
      </c>
      <c r="B31" s="12">
        <v>10114</v>
      </c>
      <c r="C31" s="46">
        <f t="shared" si="0"/>
        <v>180</v>
      </c>
    </row>
    <row r="32" spans="1:14" ht="14.4" x14ac:dyDescent="0.3">
      <c r="A32" s="7">
        <v>10104</v>
      </c>
      <c r="B32" s="12">
        <v>10106</v>
      </c>
      <c r="C32" s="46">
        <f t="shared" si="0"/>
        <v>60</v>
      </c>
    </row>
    <row r="33" spans="1:3" ht="14.4" x14ac:dyDescent="0.3">
      <c r="A33" s="7">
        <v>10110</v>
      </c>
      <c r="B33" s="12">
        <v>10112</v>
      </c>
      <c r="C33" s="46">
        <f t="shared" si="0"/>
        <v>115</v>
      </c>
    </row>
    <row r="34" spans="1:3" ht="14.4" x14ac:dyDescent="0.3">
      <c r="A34" s="7">
        <v>10100</v>
      </c>
      <c r="B34" s="12">
        <v>10114</v>
      </c>
      <c r="C34" s="46">
        <f t="shared" si="0"/>
        <v>480</v>
      </c>
    </row>
    <row r="35" spans="1:3" ht="14.4" x14ac:dyDescent="0.3">
      <c r="A35" s="9">
        <v>10112</v>
      </c>
      <c r="B35" s="13">
        <v>10116</v>
      </c>
      <c r="C35" s="46">
        <f t="shared" si="0"/>
        <v>105</v>
      </c>
    </row>
  </sheetData>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sangram;Rushi</dc:creator>
  <cp:lastModifiedBy>Admin</cp:lastModifiedBy>
  <dcterms:created xsi:type="dcterms:W3CDTF">2015-02-10T17:33:11Z</dcterms:created>
  <dcterms:modified xsi:type="dcterms:W3CDTF">2023-12-10T18:10:05Z</dcterms:modified>
</cp:coreProperties>
</file>